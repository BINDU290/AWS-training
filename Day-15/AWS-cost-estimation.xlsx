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ndu\Downloads\"/>
    </mc:Choice>
  </mc:AlternateContent>
  <xr:revisionPtr revIDLastSave="0" documentId="8_{DE25E69D-AD40-480D-9B36-9C0002A2245A}" xr6:coauthVersionLast="47" xr6:coauthVersionMax="47" xr10:uidLastSave="{00000000-0000-0000-0000-000000000000}"/>
  <bookViews>
    <workbookView xWindow="-120" yWindow="-120" windowWidth="29040" windowHeight="15720" xr2:uid="{5293BACB-3FA9-4A9D-8241-5408C827B861}"/>
  </bookViews>
  <sheets>
    <sheet name="Sheet1" sheetId="1" r:id="rId1"/>
    <sheet name="Sheet2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1" l="1"/>
  <c r="H7" i="1"/>
  <c r="A17" i="1"/>
  <c r="H8" i="1"/>
  <c r="H9" i="1"/>
  <c r="H10" i="1"/>
  <c r="H11" i="1"/>
  <c r="H12" i="1"/>
  <c r="H13" i="1"/>
  <c r="H8" i="2"/>
  <c r="H16" i="1" l="1"/>
  <c r="H17" i="1" s="1"/>
</calcChain>
</file>

<file path=xl/sharedStrings.xml><?xml version="1.0" encoding="utf-8"?>
<sst xmlns="http://schemas.openxmlformats.org/spreadsheetml/2006/main" count="29" uniqueCount="29">
  <si>
    <t>CloudLabs Cost Calculator (AWS)</t>
  </si>
  <si>
    <t>Please enter lab duration (In Hours)</t>
  </si>
  <si>
    <t>Total Number of Users</t>
  </si>
  <si>
    <t>COST ESTIMATE</t>
  </si>
  <si>
    <t>Dedicated Resources Deployed</t>
  </si>
  <si>
    <t>Type and Size</t>
  </si>
  <si>
    <t>Resource can be paused,
if true enter 1
otherwise 0</t>
  </si>
  <si>
    <t>Cost/Month</t>
  </si>
  <si>
    <t>Fixed Cost</t>
  </si>
  <si>
    <t>Count</t>
  </si>
  <si>
    <t>Total Cost</t>
  </si>
  <si>
    <t>EC2 Instance Cost</t>
  </si>
  <si>
    <t>c6in.xlarge (4 Core 8GiB) ($0.354/hr)</t>
  </si>
  <si>
    <t>s3</t>
  </si>
  <si>
    <t>Standard 50GB + 100K requests</t>
  </si>
  <si>
    <t>EBS Volume</t>
  </si>
  <si>
    <t>gp3 100GB (Lab Data Volume)</t>
  </si>
  <si>
    <t>RDS instance</t>
  </si>
  <si>
    <t>db.t3.micro MySQL 20GB</t>
  </si>
  <si>
    <t>Elastic Load Balancer</t>
  </si>
  <si>
    <t>10GB/hour, 1connection/second, 30s avg conn time</t>
  </si>
  <si>
    <t>Boot Disk Cost</t>
  </si>
  <si>
    <t>General Purpose gp2 (60GB)</t>
  </si>
  <si>
    <t>Public IP</t>
  </si>
  <si>
    <t>Dynamic IP</t>
  </si>
  <si>
    <t>Total Cost Per User</t>
  </si>
  <si>
    <t>Please enter vm uptime (In hours)</t>
  </si>
  <si>
    <t>ECS</t>
  </si>
  <si>
    <t>contaier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</si>
</sst>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6"/>
      <name val="Calibri"/>
      <family val="2"/>
    </font>
    <font>
      <b/>
      <sz val="12"/>
      <color rgb="FFFFFFFF"/>
      <name val="Calibri"/>
      <family val="2"/>
    </font>
    <font>
      <b/>
      <sz val="10"/>
      <color rgb="FF1A1A1A"/>
      <name val="Calibri"/>
      <family val="2"/>
    </font>
    <font>
      <b/>
      <sz val="11"/>
      <color rgb="FF1A1A1A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5" tint="0.59999389629810485"/>
        <bgColor rgb="FF333399"/>
      </patternFill>
    </fill>
    <fill>
      <patternFill patternType="solid">
        <fgColor theme="5"/>
        <bgColor rgb="FF0066CC"/>
      </patternFill>
    </fill>
    <fill>
      <patternFill patternType="solid">
        <fgColor theme="4" tint="0.59999389629810485"/>
        <bgColor rgb="FF1A7A8A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33339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F8F9FA"/>
      </patternFill>
    </fill>
    <fill>
      <patternFill patternType="solid">
        <fgColor theme="8" tint="0.59999389629810485"/>
        <bgColor rgb="FFF8F9FA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rgb="FF333399"/>
      </patternFill>
    </fill>
    <fill>
      <patternFill patternType="solid">
        <fgColor theme="5"/>
        <bgColor indexed="64"/>
      </patternFill>
    </fill>
  </fills>
  <borders count="14">
    <border>
      <left/>
      <right/>
      <top/>
      <bottom/>
      <diagonal/>
    </border>
    <border>
      <left style="thin">
        <color rgb="FF1B3A5C"/>
      </left>
      <right style="thin">
        <color rgb="FF1B3A5C"/>
      </right>
      <top style="thin">
        <color rgb="FF1B3A5C"/>
      </top>
      <bottom style="thin">
        <color rgb="FF1B3A5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1B3A5C"/>
      </top>
      <bottom/>
      <diagonal/>
    </border>
    <border>
      <left style="thin">
        <color rgb="FF1A7A8A"/>
      </left>
      <right style="thin">
        <color rgb="FF1A7A8A"/>
      </right>
      <top style="thin">
        <color rgb="FF1B3A5C"/>
      </top>
      <bottom style="thin">
        <color rgb="FF1A7A8A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BFBFBF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1A7A8A"/>
      </bottom>
      <diagonal/>
    </border>
    <border>
      <left/>
      <right/>
      <top style="thin">
        <color rgb="FFBFBFBF"/>
      </top>
      <bottom style="thin">
        <color rgb="FF1A7A8A"/>
      </bottom>
      <diagonal/>
    </border>
    <border>
      <left/>
      <right style="thin">
        <color rgb="FFBFBFBF"/>
      </right>
      <top style="thin">
        <color rgb="FFBFBFBF"/>
      </top>
      <bottom style="thin">
        <color rgb="FF1A7A8A"/>
      </bottom>
      <diagonal/>
    </border>
    <border>
      <left style="thin">
        <color rgb="FF1A7A8A"/>
      </left>
      <right/>
      <top style="thin">
        <color rgb="FF1A7A8A"/>
      </top>
      <bottom style="thin">
        <color rgb="FF1A7A8A"/>
      </bottom>
      <diagonal/>
    </border>
    <border>
      <left/>
      <right/>
      <top style="thin">
        <color rgb="FF1A7A8A"/>
      </top>
      <bottom style="thin">
        <color rgb="FF1A7A8A"/>
      </bottom>
      <diagonal/>
    </border>
    <border>
      <left/>
      <right style="thin">
        <color rgb="FF1A7A8A"/>
      </right>
      <top style="thin">
        <color rgb="FF1A7A8A"/>
      </top>
      <bottom style="thin">
        <color rgb="FF1A7A8A"/>
      </bottom>
      <diagonal/>
    </border>
  </borders>
  <cellStyleXfs count="2">
    <xf numFmtId="0" fontId="0" fillId="0" borderId="0"/>
    <xf numFmtId="0" fontId="2" fillId="0" borderId="0"/>
  </cellStyleXfs>
  <cellXfs count="34">
    <xf numFmtId="0" fontId="0" fillId="0" borderId="0" xfId="0"/>
    <xf numFmtId="0" fontId="8" fillId="2" borderId="1" xfId="1" applyFont="1" applyFill="1" applyBorder="1" applyAlignment="1">
      <alignment horizontal="center" vertical="center"/>
    </xf>
    <xf numFmtId="0" fontId="0" fillId="5" borderId="0" xfId="0" applyFill="1"/>
    <xf numFmtId="0" fontId="0" fillId="8" borderId="0" xfId="0" applyFill="1" applyBorder="1"/>
    <xf numFmtId="0" fontId="0" fillId="14" borderId="0" xfId="0" applyFill="1"/>
    <xf numFmtId="0" fontId="0" fillId="15" borderId="0" xfId="0" applyFill="1"/>
    <xf numFmtId="0" fontId="3" fillId="16" borderId="1" xfId="1" applyFont="1" applyFill="1" applyBorder="1" applyAlignment="1">
      <alignment horizontal="center" vertical="center"/>
    </xf>
    <xf numFmtId="0" fontId="7" fillId="6" borderId="1" xfId="1" applyFont="1" applyFill="1" applyBorder="1" applyAlignment="1">
      <alignment horizontal="center" vertical="center"/>
    </xf>
    <xf numFmtId="4" fontId="5" fillId="9" borderId="2" xfId="1" applyNumberFormat="1" applyFont="1" applyFill="1" applyBorder="1" applyAlignment="1">
      <alignment horizontal="center" vertical="center"/>
    </xf>
    <xf numFmtId="4" fontId="5" fillId="9" borderId="2" xfId="0" applyNumberFormat="1" applyFont="1" applyFill="1" applyBorder="1" applyAlignment="1">
      <alignment horizontal="center" vertical="center"/>
    </xf>
    <xf numFmtId="0" fontId="1" fillId="8" borderId="0" xfId="0" applyFont="1" applyFill="1" applyBorder="1" applyAlignment="1">
      <alignment horizontal="center"/>
    </xf>
    <xf numFmtId="0" fontId="1" fillId="12" borderId="0" xfId="0" applyFont="1" applyFill="1"/>
    <xf numFmtId="0" fontId="1" fillId="14" borderId="0" xfId="0" applyFont="1" applyFill="1"/>
    <xf numFmtId="0" fontId="1" fillId="15" borderId="0" xfId="0" applyFont="1" applyFill="1"/>
    <xf numFmtId="0" fontId="5" fillId="9" borderId="2" xfId="1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9" borderId="2" xfId="1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0" fillId="7" borderId="3" xfId="0" applyFill="1" applyBorder="1"/>
    <xf numFmtId="0" fontId="7" fillId="4" borderId="4" xfId="1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/>
    </xf>
    <xf numFmtId="0" fontId="0" fillId="8" borderId="5" xfId="0" applyFill="1" applyBorder="1"/>
    <xf numFmtId="0" fontId="5" fillId="9" borderId="6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0" fillId="11" borderId="5" xfId="0" applyFill="1" applyBorder="1"/>
    <xf numFmtId="0" fontId="6" fillId="10" borderId="8" xfId="0" applyFont="1" applyFill="1" applyBorder="1" applyAlignment="1">
      <alignment horizontal="right" vertical="center"/>
    </xf>
    <xf numFmtId="0" fontId="6" fillId="10" borderId="9" xfId="0" applyFont="1" applyFill="1" applyBorder="1" applyAlignment="1">
      <alignment horizontal="right" vertical="center"/>
    </xf>
    <xf numFmtId="0" fontId="6" fillId="10" borderId="10" xfId="0" applyFont="1" applyFill="1" applyBorder="1" applyAlignment="1">
      <alignment horizontal="right" vertical="center"/>
    </xf>
    <xf numFmtId="0" fontId="4" fillId="3" borderId="11" xfId="0" applyFont="1" applyFill="1" applyBorder="1" applyAlignment="1">
      <alignment horizontal="right" vertical="center"/>
    </xf>
    <xf numFmtId="0" fontId="4" fillId="3" borderId="12" xfId="0" applyFont="1" applyFill="1" applyBorder="1" applyAlignment="1">
      <alignment horizontal="right" vertical="center"/>
    </xf>
    <xf numFmtId="0" fontId="4" fillId="3" borderId="13" xfId="0" applyFont="1" applyFill="1" applyBorder="1" applyAlignment="1">
      <alignment horizontal="right" vertical="center"/>
    </xf>
    <xf numFmtId="0" fontId="0" fillId="17" borderId="0" xfId="0" applyFill="1"/>
  </cellXfs>
  <cellStyles count="2">
    <cellStyle name="Normal" xfId="0" builtinId="0"/>
    <cellStyle name="Normal 2" xfId="1" xr:uid="{6720074F-04DF-4128-921B-D7A53ACA00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FC991-9694-4014-AEED-C90B6F350286}">
  <dimension ref="A1:I18"/>
  <sheetViews>
    <sheetView tabSelected="1" workbookViewId="0">
      <selection activeCell="L16" sqref="L16"/>
    </sheetView>
  </sheetViews>
  <sheetFormatPr defaultRowHeight="15" x14ac:dyDescent="0.25"/>
  <cols>
    <col min="1" max="1" width="15.28515625" customWidth="1"/>
    <col min="2" max="2" width="22.42578125" customWidth="1"/>
    <col min="3" max="3" width="20.85546875" customWidth="1"/>
    <col min="4" max="4" width="22.42578125" customWidth="1"/>
    <col min="5" max="5" width="22.28515625" customWidth="1"/>
    <col min="6" max="6" width="16.140625" customWidth="1"/>
    <col min="7" max="7" width="17.85546875" customWidth="1"/>
    <col min="8" max="8" width="14.28515625" customWidth="1"/>
  </cols>
  <sheetData>
    <row r="1" spans="1:9" ht="31.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9" ht="21.75" customHeight="1" x14ac:dyDescent="0.25">
      <c r="A2" s="2"/>
      <c r="B2" s="7" t="s">
        <v>1</v>
      </c>
      <c r="C2" s="7"/>
      <c r="D2" s="7"/>
      <c r="E2" s="7"/>
      <c r="F2" s="12"/>
      <c r="G2" s="12">
        <v>1</v>
      </c>
      <c r="H2" s="12"/>
      <c r="I2" s="4"/>
    </row>
    <row r="3" spans="1:9" ht="21" customHeight="1" x14ac:dyDescent="0.25">
      <c r="A3" s="2"/>
      <c r="B3" s="7" t="s">
        <v>26</v>
      </c>
      <c r="C3" s="7"/>
      <c r="D3" s="7"/>
      <c r="E3" s="7"/>
      <c r="F3" s="13"/>
      <c r="G3" s="13">
        <v>1</v>
      </c>
      <c r="H3" s="13"/>
      <c r="I3" s="5"/>
    </row>
    <row r="4" spans="1:9" ht="23.25" customHeight="1" x14ac:dyDescent="0.25">
      <c r="A4" s="2"/>
      <c r="B4" s="7" t="s">
        <v>2</v>
      </c>
      <c r="C4" s="7"/>
      <c r="D4" s="7"/>
      <c r="E4" s="7"/>
      <c r="F4" s="12"/>
      <c r="G4" s="12">
        <v>20</v>
      </c>
      <c r="H4" s="12"/>
      <c r="I4" s="4"/>
    </row>
    <row r="5" spans="1:9" ht="33" customHeight="1" x14ac:dyDescent="0.25">
      <c r="A5" s="1" t="s">
        <v>3</v>
      </c>
      <c r="B5" s="1"/>
      <c r="C5" s="1"/>
      <c r="D5" s="1"/>
      <c r="E5" s="1"/>
      <c r="F5" s="1"/>
      <c r="G5" s="1"/>
      <c r="H5" s="1"/>
      <c r="I5" s="1"/>
    </row>
    <row r="6" spans="1:9" ht="38.25" x14ac:dyDescent="0.25">
      <c r="A6" s="18"/>
      <c r="B6" s="19" t="s">
        <v>4</v>
      </c>
      <c r="C6" s="19" t="s">
        <v>5</v>
      </c>
      <c r="D6" s="19" t="s">
        <v>6</v>
      </c>
      <c r="E6" s="19" t="s">
        <v>7</v>
      </c>
      <c r="F6" s="19" t="s">
        <v>8</v>
      </c>
      <c r="G6" s="19" t="s">
        <v>9</v>
      </c>
      <c r="H6" s="19" t="s">
        <v>10</v>
      </c>
      <c r="I6" s="19"/>
    </row>
    <row r="7" spans="1:9" ht="25.5" x14ac:dyDescent="0.25">
      <c r="A7" s="3"/>
      <c r="B7" s="14" t="s">
        <v>11</v>
      </c>
      <c r="C7" s="16" t="s">
        <v>12</v>
      </c>
      <c r="D7" s="10">
        <v>1</v>
      </c>
      <c r="E7" s="8">
        <v>258.70999999999998</v>
      </c>
      <c r="F7" s="10"/>
      <c r="G7" s="10">
        <v>3</v>
      </c>
      <c r="H7" s="20">
        <f>IF(D7=1,(E7/720)*$G$3*G7,(E7/720)*$G$2*G7)</f>
        <v>1.0779583333333331</v>
      </c>
      <c r="I7" s="3"/>
    </row>
    <row r="8" spans="1:9" ht="25.5" x14ac:dyDescent="0.25">
      <c r="A8" s="3"/>
      <c r="B8" s="10" t="s">
        <v>13</v>
      </c>
      <c r="C8" s="17" t="s">
        <v>14</v>
      </c>
      <c r="D8" s="10">
        <v>0</v>
      </c>
      <c r="E8" s="9">
        <v>1.19</v>
      </c>
      <c r="F8" s="10"/>
      <c r="G8" s="10">
        <v>2</v>
      </c>
      <c r="H8" s="20">
        <f>IF(D8=1,(E8/720)*$G$3*G8,(E8/720)*$G$2*G8)</f>
        <v>3.3055555555555555E-3</v>
      </c>
      <c r="I8" s="3"/>
    </row>
    <row r="9" spans="1:9" ht="25.5" x14ac:dyDescent="0.25">
      <c r="A9" s="3"/>
      <c r="B9" s="15" t="s">
        <v>15</v>
      </c>
      <c r="C9" s="17" t="s">
        <v>16</v>
      </c>
      <c r="D9" s="10">
        <v>0</v>
      </c>
      <c r="E9" s="9">
        <v>8</v>
      </c>
      <c r="F9" s="10"/>
      <c r="G9" s="10">
        <v>1</v>
      </c>
      <c r="H9" s="20">
        <f>IF(D9=1,(E9/720)*$G$3*G9,(E9/720)*$G$2*G9)</f>
        <v>1.1111111111111112E-2</v>
      </c>
      <c r="I9" s="3"/>
    </row>
    <row r="10" spans="1:9" ht="24" customHeight="1" x14ac:dyDescent="0.25">
      <c r="A10" s="3"/>
      <c r="B10" s="10" t="s">
        <v>17</v>
      </c>
      <c r="C10" s="17" t="s">
        <v>18</v>
      </c>
      <c r="D10" s="10">
        <v>1</v>
      </c>
      <c r="E10" s="10">
        <v>14.82</v>
      </c>
      <c r="F10" s="10"/>
      <c r="G10" s="10">
        <v>1</v>
      </c>
      <c r="H10" s="20">
        <f>IF(D10=1,(E10/720)*$G$3*G10,(E10/720)*$G$2*G10)</f>
        <v>2.0583333333333335E-2</v>
      </c>
      <c r="I10" s="3"/>
    </row>
    <row r="11" spans="1:9" ht="38.25" x14ac:dyDescent="0.25">
      <c r="A11" s="3"/>
      <c r="B11" s="15" t="s">
        <v>19</v>
      </c>
      <c r="C11" s="17" t="s">
        <v>20</v>
      </c>
      <c r="D11" s="10">
        <v>0</v>
      </c>
      <c r="E11" s="10">
        <v>32.85</v>
      </c>
      <c r="F11" s="10"/>
      <c r="G11" s="10">
        <v>2</v>
      </c>
      <c r="H11" s="20">
        <f>IF(D11=1,(E11/720)*$G$3*G11,(E11/720)*$G$2*G11)</f>
        <v>9.1249999999999998E-2</v>
      </c>
      <c r="I11" s="3"/>
    </row>
    <row r="12" spans="1:9" ht="25.5" x14ac:dyDescent="0.25">
      <c r="A12" s="3"/>
      <c r="B12" s="15" t="s">
        <v>21</v>
      </c>
      <c r="C12" s="17" t="s">
        <v>22</v>
      </c>
      <c r="D12" s="10">
        <v>0</v>
      </c>
      <c r="E12" s="10">
        <v>6.12</v>
      </c>
      <c r="F12" s="10"/>
      <c r="G12" s="10">
        <v>1</v>
      </c>
      <c r="H12" s="20">
        <f>IF(D12=1,(E12/720)*$G$3*G12,(E12/720)*$G$2*G12)</f>
        <v>8.5000000000000006E-3</v>
      </c>
      <c r="I12" s="3"/>
    </row>
    <row r="13" spans="1:9" ht="22.5" customHeight="1" x14ac:dyDescent="0.25">
      <c r="A13" s="3"/>
      <c r="B13" s="15" t="s">
        <v>23</v>
      </c>
      <c r="C13" s="17" t="s">
        <v>24</v>
      </c>
      <c r="D13" s="10">
        <v>0</v>
      </c>
      <c r="E13" s="10">
        <v>3.65</v>
      </c>
      <c r="F13" s="10"/>
      <c r="G13" s="10">
        <v>5</v>
      </c>
      <c r="H13" s="20">
        <f>IF(D13=1,(E13/720)*$G$3*G13,(E13/720)*$G$2*G13)</f>
        <v>2.5347222222222222E-2</v>
      </c>
      <c r="I13" s="3"/>
    </row>
    <row r="14" spans="1:9" ht="32.25" customHeight="1" x14ac:dyDescent="0.25">
      <c r="A14" s="21"/>
      <c r="B14" s="22" t="s">
        <v>27</v>
      </c>
      <c r="C14" s="23" t="s">
        <v>28</v>
      </c>
      <c r="D14" s="24">
        <v>1</v>
      </c>
      <c r="E14" s="24">
        <v>2.4</v>
      </c>
      <c r="F14" s="24"/>
      <c r="G14" s="24">
        <v>3</v>
      </c>
      <c r="H14" s="25">
        <f>IF(D14=1,(E14/720)*$G$3*G14,(E14/720)*$G$2*G14)</f>
        <v>9.9999999999999985E-3</v>
      </c>
      <c r="I14" s="26"/>
    </row>
    <row r="15" spans="1:9" ht="27.75" customHeight="1" x14ac:dyDescent="0.25">
      <c r="A15" s="33"/>
      <c r="B15" s="33"/>
      <c r="C15" s="33"/>
      <c r="D15" s="33"/>
      <c r="E15" s="33"/>
      <c r="F15" s="33"/>
      <c r="G15" s="33"/>
      <c r="H15" s="33"/>
      <c r="I15" s="33"/>
    </row>
    <row r="16" spans="1:9" ht="32.25" customHeight="1" x14ac:dyDescent="0.25">
      <c r="A16" s="27" t="s">
        <v>25</v>
      </c>
      <c r="B16" s="28"/>
      <c r="C16" s="28"/>
      <c r="D16" s="28"/>
      <c r="E16" s="28"/>
      <c r="F16" s="28"/>
      <c r="G16" s="29"/>
      <c r="H16" s="11">
        <f>SUM(H7:H14)</f>
        <v>1.2480555555555553</v>
      </c>
      <c r="I16" s="33"/>
    </row>
    <row r="17" spans="1:9" ht="29.25" customHeight="1" x14ac:dyDescent="0.25">
      <c r="A17" s="30" t="str">
        <f>" Total cost for "&amp;G2&amp;" user(s)"</f>
        <v xml:space="preserve"> Total cost for 1 user(s)</v>
      </c>
      <c r="B17" s="31"/>
      <c r="C17" s="31"/>
      <c r="D17" s="31"/>
      <c r="E17" s="31"/>
      <c r="F17" s="31"/>
      <c r="G17" s="32"/>
      <c r="H17" s="11">
        <f>H16*G4</f>
        <v>24.961111111111105</v>
      </c>
      <c r="I17" s="33"/>
    </row>
    <row r="18" spans="1:9" ht="24" customHeight="1" x14ac:dyDescent="0.25"/>
  </sheetData>
  <mergeCells count="7">
    <mergeCell ref="A17:G17"/>
    <mergeCell ref="A5:I5"/>
    <mergeCell ref="A16:G16"/>
    <mergeCell ref="A1:I1"/>
    <mergeCell ref="B2:E2"/>
    <mergeCell ref="B3:E3"/>
    <mergeCell ref="B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35213-3EA7-4EEC-B075-C41186FF2065}">
  <dimension ref="H8"/>
  <sheetViews>
    <sheetView workbookViewId="0">
      <selection activeCell="H9" sqref="H9"/>
    </sheetView>
  </sheetViews>
  <sheetFormatPr defaultRowHeight="15" x14ac:dyDescent="0.25"/>
  <sheetData>
    <row r="8" spans="8:8" x14ac:dyDescent="0.25">
      <c r="H8">
        <f>IF(D8=1,(E8/730)*$G$3*G8,(E8/730)*$G$2*G8)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Bindu R</dc:creator>
  <cp:lastModifiedBy>Bindu R</cp:lastModifiedBy>
  <dcterms:created xsi:type="dcterms:W3CDTF">2026-03-20T09:25:25Z</dcterms:created>
  <dcterms:modified xsi:type="dcterms:W3CDTF">2026-03-20T16:51:54Z</dcterms:modified>
</cp:coreProperties>
</file>